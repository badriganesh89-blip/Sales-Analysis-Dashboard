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ales Dashboard\salesdata\"/>
    </mc:Choice>
  </mc:AlternateContent>
  <xr:revisionPtr revIDLastSave="0" documentId="8_{991DB284-7E17-411B-8842-04FEBDD320B2}" xr6:coauthVersionLast="47" xr6:coauthVersionMax="47" xr10:uidLastSave="{00000000-0000-0000-0000-000000000000}"/>
  <bookViews>
    <workbookView xWindow="-110" yWindow="-110" windowWidth="19420" windowHeight="10300" xr2:uid="{86798B87-14DF-4BBB-85CE-01CFFE7B47C7}"/>
  </bookViews>
  <sheets>
    <sheet name="Sales_Data" sheetId="1" r:id="rId1"/>
    <sheet name="Region Wise Sales Pivot + Chart" sheetId="2" r:id="rId2"/>
    <sheet name="Monthly Trend Pivot +Chart" sheetId="3" r:id="rId3"/>
    <sheet name="Top Products Pivot + Chart" sheetId="4" r:id="rId4"/>
    <sheet name="Final Dashboard KPI's + Charts" sheetId="5" r:id="rId5"/>
  </sheets>
  <calcPr calcId="191029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5" l="1"/>
  <c r="K1" i="5" s="1"/>
  <c r="B1" i="5"/>
</calcChain>
</file>

<file path=xl/sharedStrings.xml><?xml version="1.0" encoding="utf-8"?>
<sst xmlns="http://schemas.openxmlformats.org/spreadsheetml/2006/main" count="66" uniqueCount="35">
  <si>
    <t>Order ID</t>
  </si>
  <si>
    <t>Product</t>
  </si>
  <si>
    <t>Category</t>
  </si>
  <si>
    <t>Region</t>
  </si>
  <si>
    <t>Quantity</t>
  </si>
  <si>
    <t>Price</t>
  </si>
  <si>
    <t>Revenue</t>
  </si>
  <si>
    <t>Order Date</t>
  </si>
  <si>
    <t>Keyboard</t>
  </si>
  <si>
    <t>Electronics</t>
  </si>
  <si>
    <t>South</t>
  </si>
  <si>
    <t>Mouse</t>
  </si>
  <si>
    <t>East</t>
  </si>
  <si>
    <t>Water Bottle</t>
  </si>
  <si>
    <t>Home</t>
  </si>
  <si>
    <t>West</t>
  </si>
  <si>
    <t>Notebook</t>
  </si>
  <si>
    <t>Stationery</t>
  </si>
  <si>
    <t>North</t>
  </si>
  <si>
    <t>Headphones</t>
  </si>
  <si>
    <t>Pen Set</t>
  </si>
  <si>
    <t>Mug</t>
  </si>
  <si>
    <t>Laptop Stand</t>
  </si>
  <si>
    <t>Office</t>
  </si>
  <si>
    <t>Charger</t>
  </si>
  <si>
    <t>Backpack</t>
  </si>
  <si>
    <t>Bags</t>
  </si>
  <si>
    <t>Row Labels</t>
  </si>
  <si>
    <t>Grand Total</t>
  </si>
  <si>
    <t>Sum of Revenue</t>
  </si>
  <si>
    <t>Jan</t>
  </si>
  <si>
    <t>2024</t>
  </si>
  <si>
    <t>Total Revenue</t>
  </si>
  <si>
    <t>Total Orders</t>
  </si>
  <si>
    <t>Average Revenue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</si>
</sst>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[sales_data_xlsx.xlsx]Region Wise Sales Pivot +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Sales Pivot +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Wise Sales Pivot + Chart'!$A$2:$A$6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 Pivot + Chart'!$B$2:$B$6</c:f>
              <c:numCache>
                <c:formatCode>General</c:formatCode>
                <c:ptCount val="4"/>
                <c:pt idx="0">
                  <c:v>2220</c:v>
                </c:pt>
                <c:pt idx="1">
                  <c:v>650</c:v>
                </c:pt>
                <c:pt idx="2">
                  <c:v>4100</c:v>
                </c:pt>
                <c:pt idx="3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7-403E-ACF0-8A43447C4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105472"/>
        <c:axId val="1433114112"/>
      </c:barChart>
      <c:catAx>
        <c:axId val="143310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14112"/>
        <c:crosses val="autoZero"/>
        <c:auto val="1"/>
        <c:lblAlgn val="ctr"/>
        <c:lblOffset val="100"/>
        <c:noMultiLvlLbl val="0"/>
      </c:catAx>
      <c:valAx>
        <c:axId val="143311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[sales_data_xlsx.xlsx]Monthly Trend Pivot +Chart!PivotTable2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 Pivot +Chart'!$B$1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 Pivot +Chart'!$A$2:$A$4</c:f>
              <c:multiLvlStrCache>
                <c:ptCount val="1"/>
                <c:lvl>
                  <c:pt idx="0">
                    <c:v>Jan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'Monthly Trend Pivot +Chart'!$B$2:$B$4</c:f>
              <c:numCache>
                <c:formatCode>General</c:formatCode>
                <c:ptCount val="1"/>
                <c:pt idx="0">
                  <c:v>8420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7-4C6D-9E31-4DD209567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29568"/>
        <c:axId val="1571927648"/>
      </c:lineChart>
      <c:catAx>
        <c:axId val="157192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27648"/>
        <c:crosses val="autoZero"/>
        <c:auto val="1"/>
        <c:lblAlgn val="ctr"/>
        <c:lblOffset val="100"/>
        <c:noMultiLvlLbl val="0"/>
      </c:catAx>
      <c:valAx>
        <c:axId val="15719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[sales_data_xlsx.xlsx]Top Products Pivot +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 Pivot +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 Pivot + Chart'!$A$4:$A$14</c:f>
              <c:strCache>
                <c:ptCount val="10"/>
                <c:pt idx="0">
                  <c:v>Pen Set</c:v>
                </c:pt>
                <c:pt idx="1">
                  <c:v>Notebook</c:v>
                </c:pt>
                <c:pt idx="2">
                  <c:v>Mug</c:v>
                </c:pt>
                <c:pt idx="3">
                  <c:v>Water Bottle</c:v>
                </c:pt>
                <c:pt idx="4">
                  <c:v>Mouse</c:v>
                </c:pt>
                <c:pt idx="5">
                  <c:v>Laptop Stand</c:v>
                </c:pt>
                <c:pt idx="6">
                  <c:v>Backpack</c:v>
                </c:pt>
                <c:pt idx="7">
                  <c:v>Keyboard</c:v>
                </c:pt>
                <c:pt idx="8">
                  <c:v>Headphones</c:v>
                </c:pt>
                <c:pt idx="9">
                  <c:v>Charger</c:v>
                </c:pt>
              </c:strCache>
            </c:strRef>
          </c:cat>
          <c:val>
            <c:numRef>
              <c:f>'Top Products Pivot + Chart'!$B$4:$B$14</c:f>
              <c:numCache>
                <c:formatCode>General</c:formatCode>
                <c:ptCount val="10"/>
                <c:pt idx="0">
                  <c:v>120</c:v>
                </c:pt>
                <c:pt idx="1">
                  <c:v>250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1500</c:v>
                </c:pt>
                <c:pt idx="9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9-47FD-AC44-433691F5E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0926256"/>
        <c:axId val="1720928656"/>
      </c:barChart>
      <c:catAx>
        <c:axId val="172092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28656"/>
        <c:crosses val="autoZero"/>
        <c:auto val="1"/>
        <c:lblAlgn val="ctr"/>
        <c:lblOffset val="100"/>
        <c:noMultiLvlLbl val="0"/>
      </c:catAx>
      <c:valAx>
        <c:axId val="172092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2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[sales_data_xlsx.xlsx]Region Wise Sales Pivot + Chart!PivotTable1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Sales Pivot +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Wise Sales Pivot + Chart'!$A$2:$A$6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 Pivot + Chart'!$B$2:$B$6</c:f>
              <c:numCache>
                <c:formatCode>General</c:formatCode>
                <c:ptCount val="4"/>
                <c:pt idx="0">
                  <c:v>2220</c:v>
                </c:pt>
                <c:pt idx="1">
                  <c:v>650</c:v>
                </c:pt>
                <c:pt idx="2">
                  <c:v>4100</c:v>
                </c:pt>
                <c:pt idx="3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F-4096-8860-EFB2112CF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105472"/>
        <c:axId val="1433114112"/>
      </c:barChart>
      <c:catAx>
        <c:axId val="143310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14112"/>
        <c:crosses val="autoZero"/>
        <c:auto val="1"/>
        <c:lblAlgn val="ctr"/>
        <c:lblOffset val="100"/>
        <c:noMultiLvlLbl val="0"/>
      </c:catAx>
      <c:valAx>
        <c:axId val="143311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[sales_data_xlsx.xlsx]Monthly Trend Pivot +Chart!PivotTable2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 Pivot +Chart'!$B$1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 Pivot +Chart'!$A$2:$A$4</c:f>
              <c:multiLvlStrCache>
                <c:ptCount val="1"/>
                <c:lvl>
                  <c:pt idx="0">
                    <c:v>Jan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'Monthly Trend Pivot +Chart'!$B$2:$B$4</c:f>
              <c:numCache>
                <c:formatCode>General</c:formatCode>
                <c:ptCount val="1"/>
                <c:pt idx="0">
                  <c:v>8420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B-4F59-A82C-29642D5D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29568"/>
        <c:axId val="1571927648"/>
      </c:lineChart>
      <c:catAx>
        <c:axId val="157192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27648"/>
        <c:crosses val="autoZero"/>
        <c:auto val="1"/>
        <c:lblAlgn val="ctr"/>
        <c:lblOffset val="100"/>
        <c:noMultiLvlLbl val="0"/>
      </c:catAx>
      <c:valAx>
        <c:axId val="15719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[sales_data_xlsx.xlsx]Top Products Pivot + Chart!PivotTable3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 Pivot +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 Pivot + Chart'!$A$4:$A$14</c:f>
              <c:strCache>
                <c:ptCount val="10"/>
                <c:pt idx="0">
                  <c:v>Pen Set</c:v>
                </c:pt>
                <c:pt idx="1">
                  <c:v>Notebook</c:v>
                </c:pt>
                <c:pt idx="2">
                  <c:v>Mug</c:v>
                </c:pt>
                <c:pt idx="3">
                  <c:v>Water Bottle</c:v>
                </c:pt>
                <c:pt idx="4">
                  <c:v>Mouse</c:v>
                </c:pt>
                <c:pt idx="5">
                  <c:v>Laptop Stand</c:v>
                </c:pt>
                <c:pt idx="6">
                  <c:v>Backpack</c:v>
                </c:pt>
                <c:pt idx="7">
                  <c:v>Keyboard</c:v>
                </c:pt>
                <c:pt idx="8">
                  <c:v>Headphones</c:v>
                </c:pt>
                <c:pt idx="9">
                  <c:v>Charger</c:v>
                </c:pt>
              </c:strCache>
            </c:strRef>
          </c:cat>
          <c:val>
            <c:numRef>
              <c:f>'Top Products Pivot + Chart'!$B$4:$B$14</c:f>
              <c:numCache>
                <c:formatCode>General</c:formatCode>
                <c:ptCount val="10"/>
                <c:pt idx="0">
                  <c:v>120</c:v>
                </c:pt>
                <c:pt idx="1">
                  <c:v>250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1500</c:v>
                </c:pt>
                <c:pt idx="9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6-426F-944A-0699FA782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0926256"/>
        <c:axId val="1720928656"/>
      </c:barChart>
      <c:catAx>
        <c:axId val="172092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28656"/>
        <c:crosses val="autoZero"/>
        <c:auto val="1"/>
        <c:lblAlgn val="ctr"/>
        <c:lblOffset val="100"/>
        <c:noMultiLvlLbl val="0"/>
      </c:catAx>
      <c:valAx>
        <c:axId val="172092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2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320675</xdr:colOff>
      <xdr:row>2</xdr:row>
      <xdr:rowOff>53975</xdr:rowOff>
    </xdr:from>
    <xdr:to>
      <xdr:col>11</xdr:col>
      <xdr:colOff>219075</xdr:colOff>
      <xdr:row>17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B2B2C-5216-F92A-32F8-028016644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536575</xdr:colOff>
      <xdr:row>2</xdr:row>
      <xdr:rowOff>85725</xdr:rowOff>
    </xdr:from>
    <xdr:to>
      <xdr:col>10</xdr:col>
      <xdr:colOff>231775</xdr:colOff>
      <xdr:row>17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55C239-527C-AA46-A459-4A4475D0D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</xdr:row>
      <xdr:rowOff>85725</xdr:rowOff>
    </xdr:from>
    <xdr:to>
      <xdr:col>10</xdr:col>
      <xdr:colOff>409575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9EC54-67FF-E095-CED0-C0175A50D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25400</xdr:rowOff>
    </xdr:from>
    <xdr:to>
      <xdr:col>3</xdr:col>
      <xdr:colOff>520250</xdr:colOff>
      <xdr:row>12</xdr:row>
      <xdr:rowOff>159750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E24FF-A985-4970-AC22-F6CE34DB2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</xdr:row>
      <xdr:rowOff>6350</xdr:rowOff>
    </xdr:from>
    <xdr:to>
      <xdr:col>8</xdr:col>
      <xdr:colOff>1129850</xdr:colOff>
      <xdr:row>12</xdr:row>
      <xdr:rowOff>140700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2661F-7019-41E9-995A-F0F7BF660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</xdr:colOff>
      <xdr:row>1</xdr:row>
      <xdr:rowOff>19050</xdr:rowOff>
    </xdr:from>
    <xdr:to>
      <xdr:col>12</xdr:col>
      <xdr:colOff>501200</xdr:colOff>
      <xdr:row>12</xdr:row>
      <xdr:rowOff>153400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B8D8BD-1001-4EB3-A959-BA5DE1CFF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dri Ganesh" refreshedDate="45986.51061863426" createdVersion="8" refreshedVersion="8" minRefreshableVersion="3" recordCount="11" xr:uid="{186B8696-A269-4C23-9966-C4872D063D2F}">
  <cacheSource type="worksheet">
    <worksheetSource name="Table1"/>
  </cacheSource>
  <cacheFields count="10">
    <cacheField name="Order ID" numFmtId="0">
      <sharedItems containsString="0" containsBlank="1" containsNumber="1" containsInteger="1" minValue="1" maxValue="10"/>
    </cacheField>
    <cacheField name="Product" numFmtId="0">
      <sharedItems containsBlank="1" count="11">
        <s v="Keyboard"/>
        <s v="Mouse"/>
        <s v="Water Bottle"/>
        <s v="Notebook"/>
        <s v="Headphones"/>
        <s v="Pen Set"/>
        <s v="Mug"/>
        <s v="Laptop Stand"/>
        <s v="Charger"/>
        <s v="Backpack"/>
        <m/>
      </sharedItems>
    </cacheField>
    <cacheField name="Category" numFmtId="0">
      <sharedItems containsBlank="1" count="6">
        <s v="Electronics"/>
        <s v="Home"/>
        <s v="Stationery"/>
        <s v="Office"/>
        <s v="Bags"/>
        <m/>
      </sharedItems>
    </cacheField>
    <cacheField name="Region" numFmtId="0">
      <sharedItems containsBlank="1" count="5">
        <s v="South"/>
        <s v="East"/>
        <s v="West"/>
        <s v="North"/>
        <m/>
      </sharedItems>
    </cacheField>
    <cacheField name="Quantity" numFmtId="0">
      <sharedItems containsString="0" containsBlank="1" containsNumber="1" containsInteger="1" minValue="1" maxValue="5"/>
    </cacheField>
    <cacheField name="Price" numFmtId="0">
      <sharedItems containsString="0" containsBlank="1" containsNumber="1" containsInteger="1" minValue="30" maxValue="1500"/>
    </cacheField>
    <cacheField name="Revenue" numFmtId="0">
      <sharedItems containsString="0" containsBlank="1" containsNumber="1" containsInteger="1" minValue="120" maxValue="1600"/>
    </cacheField>
    <cacheField name="Order Date" numFmtId="0">
      <sharedItems containsNonDate="0" containsDate="1" containsString="0" containsBlank="1" minDate="2024-01-05T00:00:00" maxDate="2024-01-31T00:00:00" count="11">
        <d v="2024-01-05T00:00:00"/>
        <d v="2024-01-07T00:00:00"/>
        <d v="2024-01-10T00:00:00"/>
        <d v="2024-01-12T00:00:00"/>
        <d v="2024-01-15T00:00:00"/>
        <d v="2024-01-20T00:00:00"/>
        <d v="2024-01-22T00:00:00"/>
        <d v="2024-01-25T00:00:00"/>
        <d v="2024-01-29T00:00:00"/>
        <d v="2024-01-30T00:00:00"/>
        <m/>
      </sharedItems>
      <fieldGroup par="9"/>
    </cacheField>
    <cacheField name="Months (Order Date)" numFmtId="0" databaseField="0">
      <fieldGroup base="7">
        <rangePr groupBy="months" startDate="2024-01-05T00:00:00" endDate="2024-01-31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1-2024"/>
        </groupItems>
      </fieldGroup>
    </cacheField>
    <cacheField name="Years (Order Date)" numFmtId="0" databaseField="0">
      <fieldGroup base="7">
        <rangePr groupBy="years" startDate="2024-01-05T00:00:00" endDate="2024-01-31T00:00:00"/>
        <groupItems count="3">
          <s v="&lt;05-01-2024"/>
          <s v="2024"/>
          <s v="&gt;3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x v="0"/>
    <x v="0"/>
    <n v="2"/>
    <n v="700"/>
    <n v="1400"/>
    <x v="0"/>
  </r>
  <r>
    <n v="2"/>
    <x v="1"/>
    <x v="0"/>
    <x v="1"/>
    <n v="1"/>
    <n v="500"/>
    <n v="500"/>
    <x v="1"/>
  </r>
  <r>
    <n v="3"/>
    <x v="2"/>
    <x v="1"/>
    <x v="2"/>
    <n v="3"/>
    <n v="150"/>
    <n v="450"/>
    <x v="2"/>
  </r>
  <r>
    <n v="4"/>
    <x v="3"/>
    <x v="2"/>
    <x v="3"/>
    <n v="5"/>
    <n v="50"/>
    <n v="250"/>
    <x v="3"/>
  </r>
  <r>
    <n v="5"/>
    <x v="4"/>
    <x v="0"/>
    <x v="0"/>
    <n v="1"/>
    <n v="1500"/>
    <n v="1500"/>
    <x v="4"/>
  </r>
  <r>
    <n v="6"/>
    <x v="5"/>
    <x v="2"/>
    <x v="1"/>
    <n v="4"/>
    <n v="30"/>
    <n v="120"/>
    <x v="5"/>
  </r>
  <r>
    <n v="7"/>
    <x v="6"/>
    <x v="1"/>
    <x v="3"/>
    <n v="2"/>
    <n v="200"/>
    <n v="400"/>
    <x v="6"/>
  </r>
  <r>
    <n v="8"/>
    <x v="7"/>
    <x v="3"/>
    <x v="2"/>
    <n v="1"/>
    <n v="1000"/>
    <n v="1000"/>
    <x v="7"/>
  </r>
  <r>
    <n v="9"/>
    <x v="8"/>
    <x v="0"/>
    <x v="1"/>
    <n v="2"/>
    <n v="800"/>
    <n v="1600"/>
    <x v="8"/>
  </r>
  <r>
    <n v="10"/>
    <x v="9"/>
    <x v="4"/>
    <x v="0"/>
    <n v="1"/>
    <n v="1200"/>
    <n v="1200"/>
    <x v="9"/>
  </r>
  <r>
    <m/>
    <x v="10"/>
    <x v="5"/>
    <x v="4"/>
    <m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3CA5C-F762-45EE-8AC5-16307FF0D32A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10">
    <pivotField showAll="0"/>
    <pivotField showAll="0">
      <items count="12">
        <item x="9"/>
        <item x="8"/>
        <item x="4"/>
        <item x="0"/>
        <item x="7"/>
        <item x="1"/>
        <item x="6"/>
        <item x="3"/>
        <item x="5"/>
        <item x="2"/>
        <item x="10"/>
        <item t="default"/>
      </items>
    </pivotField>
    <pivotField showAll="0">
      <items count="7">
        <item x="4"/>
        <item x="0"/>
        <item x="1"/>
        <item x="3"/>
        <item x="2"/>
        <item x="5"/>
        <item t="default"/>
      </items>
    </pivotField>
    <pivotField axis="axisRow" showAll="0" sortType="ascending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A1A17-37BF-4152-959D-FA84DD238175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4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9"/>
    <field x="8"/>
  </rowFields>
  <rowItems count="3">
    <i>
      <x v="1"/>
    </i>
    <i r="1">
      <x v="1"/>
    </i>
    <i t="grand">
      <x/>
    </i>
  </rowItems>
  <colItems count="1">
    <i/>
  </colItems>
  <dataFields count="1">
    <dataField name="Sum of Revenue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FFCCE-67D5-460F-B31E-B38D99FE41AF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0">
    <pivotField showAll="0"/>
    <pivotField axis="axisRow" showAll="0" sortType="ascending">
      <items count="12">
        <item x="9"/>
        <item x="8"/>
        <item x="4"/>
        <item x="0"/>
        <item x="7"/>
        <item x="1"/>
        <item x="6"/>
        <item x="3"/>
        <item x="5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 defaultSubtotal="0"/>
    <pivotField showAll="0" defaultSubtotal="0">
      <items count="3">
        <item x="0"/>
        <item x="1"/>
        <item x="2"/>
      </items>
    </pivotField>
  </pivotFields>
  <rowFields count="1">
    <field x="1"/>
  </rowFields>
  <rowItems count="11">
    <i>
      <x v="8"/>
    </i>
    <i>
      <x v="7"/>
    </i>
    <i>
      <x v="6"/>
    </i>
    <i>
      <x v="9"/>
    </i>
    <i>
      <x v="5"/>
    </i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Revenu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B85FD-CEDC-41C8-B2CC-52BD7F74841E}" name="Table1" displayName="Table1" ref="A1:H12" totalsRowShown="0" headerRowDxfId="0" dataDxfId="1">
  <autoFilter ref="A1:H12" xr:uid="{F8EB85FD-CEDC-41C8-B2CC-52BD7F74841E}"/>
  <tableColumns count="8">
    <tableColumn id="1" xr3:uid="{E0502281-4751-4057-B055-4CC1B667FF83}" name="Order ID" dataDxfId="9"/>
    <tableColumn id="2" xr3:uid="{8C3C13F4-7CEA-4280-944D-987426DFEDA0}" name="Product" dataDxfId="8"/>
    <tableColumn id="3" xr3:uid="{FF1C35B3-697B-4EED-B98B-C6BCA39D7759}" name="Category" dataDxfId="7"/>
    <tableColumn id="4" xr3:uid="{6F863ABE-D521-42D1-9C16-7DC0EB6012FD}" name="Region" dataDxfId="6"/>
    <tableColumn id="5" xr3:uid="{B77D1A0D-88BE-4C9B-B0AF-6FE38118935F}" name="Quantity" dataDxfId="5"/>
    <tableColumn id="6" xr3:uid="{09A324CB-9C53-4D05-A2BE-E6EE01E8B4AB}" name="Price" dataDxfId="4"/>
    <tableColumn id="7" xr3:uid="{8CB05EED-719B-467A-94DA-01BF46F48B5C}" name="Revenue" dataDxfId="3"/>
    <tableColumn id="8" xr3:uid="{08106829-4FCD-4640-A8AE-9C32D6ADBFCF}" name="Order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EF9B-526C-4054-B07D-0F17707DD5C0}">
  <dimension ref="A1:H11"/>
  <sheetViews>
    <sheetView tabSelected="1" workbookViewId="0">
      <selection activeCell="B5" sqref="B5"/>
    </sheetView>
  </sheetViews>
  <sheetFormatPr defaultRowHeight="14.5" x14ac:dyDescent="0.35"/>
  <cols>
    <col min="1" max="1" width="10" customWidth="1"/>
    <col min="2" max="2" width="9.453125" customWidth="1"/>
    <col min="3" max="3" width="10.26953125" customWidth="1"/>
    <col min="5" max="5" width="10.1796875" customWidth="1"/>
    <col min="7" max="7" width="10" customWidth="1"/>
    <col min="8" max="8" width="12.1796875" customWidth="1"/>
    <col min="9" max="9" width="10.269531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5">
      <c r="A2" s="1">
        <v>1</v>
      </c>
      <c r="B2" s="1" t="s">
        <v>8</v>
      </c>
      <c r="C2" s="1" t="s">
        <v>9</v>
      </c>
      <c r="D2" s="1" t="s">
        <v>10</v>
      </c>
      <c r="E2" s="1">
        <v>2</v>
      </c>
      <c r="F2" s="1">
        <v>700</v>
      </c>
      <c r="G2" s="1">
        <v>1400</v>
      </c>
      <c r="H2" s="4">
        <v>45296</v>
      </c>
    </row>
    <row r="3" spans="1:8" x14ac:dyDescent="0.35">
      <c r="A3" s="1">
        <v>2</v>
      </c>
      <c r="B3" s="1" t="s">
        <v>11</v>
      </c>
      <c r="C3" s="1" t="s">
        <v>9</v>
      </c>
      <c r="D3" s="1" t="s">
        <v>12</v>
      </c>
      <c r="E3" s="1">
        <v>1</v>
      </c>
      <c r="F3" s="1">
        <v>500</v>
      </c>
      <c r="G3" s="1">
        <v>500</v>
      </c>
      <c r="H3" s="4">
        <v>45298</v>
      </c>
    </row>
    <row r="4" spans="1:8" ht="29" x14ac:dyDescent="0.35">
      <c r="A4" s="1">
        <v>3</v>
      </c>
      <c r="B4" s="1" t="s">
        <v>13</v>
      </c>
      <c r="C4" s="1" t="s">
        <v>14</v>
      </c>
      <c r="D4" s="1" t="s">
        <v>15</v>
      </c>
      <c r="E4" s="1">
        <v>3</v>
      </c>
      <c r="F4" s="1">
        <v>150</v>
      </c>
      <c r="G4" s="1">
        <v>450</v>
      </c>
      <c r="H4" s="4">
        <v>45301</v>
      </c>
    </row>
    <row r="5" spans="1:8" x14ac:dyDescent="0.35">
      <c r="A5" s="1">
        <v>4</v>
      </c>
      <c r="B5" s="1" t="s">
        <v>16</v>
      </c>
      <c r="C5" s="1" t="s">
        <v>17</v>
      </c>
      <c r="D5" s="1" t="s">
        <v>18</v>
      </c>
      <c r="E5" s="1">
        <v>5</v>
      </c>
      <c r="F5" s="1">
        <v>50</v>
      </c>
      <c r="G5" s="1">
        <v>250</v>
      </c>
      <c r="H5" s="4">
        <v>45303</v>
      </c>
    </row>
    <row r="6" spans="1:8" ht="29" x14ac:dyDescent="0.35">
      <c r="A6" s="1">
        <v>5</v>
      </c>
      <c r="B6" s="1" t="s">
        <v>19</v>
      </c>
      <c r="C6" s="1" t="s">
        <v>9</v>
      </c>
      <c r="D6" s="1" t="s">
        <v>10</v>
      </c>
      <c r="E6" s="1">
        <v>1</v>
      </c>
      <c r="F6" s="1">
        <v>1500</v>
      </c>
      <c r="G6" s="1">
        <v>1500</v>
      </c>
      <c r="H6" s="4">
        <v>45306</v>
      </c>
    </row>
    <row r="7" spans="1:8" x14ac:dyDescent="0.35">
      <c r="A7" s="1">
        <v>6</v>
      </c>
      <c r="B7" s="1" t="s">
        <v>20</v>
      </c>
      <c r="C7" s="1" t="s">
        <v>17</v>
      </c>
      <c r="D7" s="1" t="s">
        <v>12</v>
      </c>
      <c r="E7" s="1">
        <v>4</v>
      </c>
      <c r="F7" s="1">
        <v>30</v>
      </c>
      <c r="G7" s="1">
        <v>120</v>
      </c>
      <c r="H7" s="4">
        <v>45311</v>
      </c>
    </row>
    <row r="8" spans="1:8" x14ac:dyDescent="0.35">
      <c r="A8" s="1">
        <v>7</v>
      </c>
      <c r="B8" s="1" t="s">
        <v>21</v>
      </c>
      <c r="C8" s="1" t="s">
        <v>14</v>
      </c>
      <c r="D8" s="1" t="s">
        <v>18</v>
      </c>
      <c r="E8" s="1">
        <v>2</v>
      </c>
      <c r="F8" s="1">
        <v>200</v>
      </c>
      <c r="G8" s="1">
        <v>400</v>
      </c>
      <c r="H8" s="4">
        <v>45313</v>
      </c>
    </row>
    <row r="9" spans="1:8" ht="29" x14ac:dyDescent="0.35">
      <c r="A9" s="1">
        <v>8</v>
      </c>
      <c r="B9" s="1" t="s">
        <v>22</v>
      </c>
      <c r="C9" s="1" t="s">
        <v>23</v>
      </c>
      <c r="D9" s="1" t="s">
        <v>15</v>
      </c>
      <c r="E9" s="1">
        <v>1</v>
      </c>
      <c r="F9" s="1">
        <v>1000</v>
      </c>
      <c r="G9" s="1">
        <v>1000</v>
      </c>
      <c r="H9" s="4">
        <v>45316</v>
      </c>
    </row>
    <row r="10" spans="1:8" x14ac:dyDescent="0.35">
      <c r="A10" s="1">
        <v>9</v>
      </c>
      <c r="B10" s="1" t="s">
        <v>24</v>
      </c>
      <c r="C10" s="1" t="s">
        <v>9</v>
      </c>
      <c r="D10" s="1" t="s">
        <v>12</v>
      </c>
      <c r="E10" s="1">
        <v>2</v>
      </c>
      <c r="F10" s="1">
        <v>800</v>
      </c>
      <c r="G10" s="1">
        <v>1600</v>
      </c>
      <c r="H10" s="4">
        <v>45320</v>
      </c>
    </row>
    <row r="11" spans="1:8" x14ac:dyDescent="0.35">
      <c r="A11" s="1">
        <v>10</v>
      </c>
      <c r="B11" s="1" t="s">
        <v>25</v>
      </c>
      <c r="C11" s="1" t="s">
        <v>26</v>
      </c>
      <c r="D11" s="1" t="s">
        <v>10</v>
      </c>
      <c r="E11" s="1">
        <v>1</v>
      </c>
      <c r="F11" s="1">
        <v>1200</v>
      </c>
      <c r="G11" s="1">
        <v>1200</v>
      </c>
      <c r="H11" s="4">
        <v>45321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86E1-963A-43DD-A3D2-36008B3F2631}">
  <dimension ref="A1:B6"/>
  <sheetViews>
    <sheetView workbookViewId="0">
      <selection activeCell="D17" sqref="D17"/>
    </sheetView>
  </sheetViews>
  <sheetFormatPr defaultRowHeight="14.5" x14ac:dyDescent="0.35"/>
  <cols>
    <col min="1" max="1" width="12.36328125" bestFit="1" customWidth="1"/>
    <col min="2" max="3" width="14.36328125" bestFit="1" customWidth="1"/>
    <col min="4" max="5" width="14.54296875" bestFit="1" customWidth="1"/>
  </cols>
  <sheetData>
    <row r="1" spans="1:2" x14ac:dyDescent="0.35">
      <c r="A1" s="6" t="s">
        <v>27</v>
      </c>
      <c r="B1" t="s">
        <v>29</v>
      </c>
    </row>
    <row r="2" spans="1:2" x14ac:dyDescent="0.35">
      <c r="A2" s="7" t="s">
        <v>12</v>
      </c>
      <c r="B2" s="5">
        <v>2220</v>
      </c>
    </row>
    <row r="3" spans="1:2" x14ac:dyDescent="0.35">
      <c r="A3" s="7" t="s">
        <v>18</v>
      </c>
      <c r="B3" s="5">
        <v>650</v>
      </c>
    </row>
    <row r="4" spans="1:2" x14ac:dyDescent="0.35">
      <c r="A4" s="7" t="s">
        <v>10</v>
      </c>
      <c r="B4" s="5">
        <v>4100</v>
      </c>
    </row>
    <row r="5" spans="1:2" x14ac:dyDescent="0.35">
      <c r="A5" s="7" t="s">
        <v>15</v>
      </c>
      <c r="B5" s="5">
        <v>1450</v>
      </c>
    </row>
    <row r="6" spans="1:2" x14ac:dyDescent="0.35">
      <c r="A6" s="7" t="s">
        <v>28</v>
      </c>
      <c r="B6" s="5">
        <v>8420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0D7F-A5ED-48FC-9D22-2CCDF02AE929}">
  <dimension ref="A1:B4"/>
  <sheetViews>
    <sheetView workbookViewId="0">
      <selection activeCell="O7" sqref="O7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1" spans="1:2" x14ac:dyDescent="0.35">
      <c r="A1" s="6" t="s">
        <v>27</v>
      </c>
      <c r="B1" t="s">
        <v>29</v>
      </c>
    </row>
    <row r="2" spans="1:2" x14ac:dyDescent="0.35">
      <c r="A2" s="7" t="s">
        <v>31</v>
      </c>
      <c r="B2" s="5">
        <v>8420</v>
      </c>
    </row>
    <row r="3" spans="1:2" x14ac:dyDescent="0.35">
      <c r="A3" s="8" t="s">
        <v>30</v>
      </c>
      <c r="B3" s="5">
        <v>8420</v>
      </c>
    </row>
    <row r="4" spans="1:2" x14ac:dyDescent="0.35">
      <c r="A4" s="7" t="s">
        <v>28</v>
      </c>
      <c r="B4" s="5">
        <v>8420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9A7F-52FC-40B9-94D8-6805281B83B2}">
  <dimension ref="A3:B14"/>
  <sheetViews>
    <sheetView workbookViewId="0">
      <selection activeCell="L17" sqref="L17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6" t="s">
        <v>27</v>
      </c>
      <c r="B3" t="s">
        <v>29</v>
      </c>
    </row>
    <row r="4" spans="1:2" x14ac:dyDescent="0.35">
      <c r="A4" s="7" t="s">
        <v>20</v>
      </c>
      <c r="B4" s="5">
        <v>120</v>
      </c>
    </row>
    <row r="5" spans="1:2" x14ac:dyDescent="0.35">
      <c r="A5" s="7" t="s">
        <v>16</v>
      </c>
      <c r="B5" s="5">
        <v>250</v>
      </c>
    </row>
    <row r="6" spans="1:2" x14ac:dyDescent="0.35">
      <c r="A6" s="7" t="s">
        <v>21</v>
      </c>
      <c r="B6" s="5">
        <v>400</v>
      </c>
    </row>
    <row r="7" spans="1:2" x14ac:dyDescent="0.35">
      <c r="A7" s="7" t="s">
        <v>13</v>
      </c>
      <c r="B7" s="5">
        <v>450</v>
      </c>
    </row>
    <row r="8" spans="1:2" x14ac:dyDescent="0.35">
      <c r="A8" s="7" t="s">
        <v>11</v>
      </c>
      <c r="B8" s="5">
        <v>500</v>
      </c>
    </row>
    <row r="9" spans="1:2" x14ac:dyDescent="0.35">
      <c r="A9" s="7" t="s">
        <v>22</v>
      </c>
      <c r="B9" s="5">
        <v>1000</v>
      </c>
    </row>
    <row r="10" spans="1:2" x14ac:dyDescent="0.35">
      <c r="A10" s="7" t="s">
        <v>25</v>
      </c>
      <c r="B10" s="5">
        <v>1200</v>
      </c>
    </row>
    <row r="11" spans="1:2" x14ac:dyDescent="0.35">
      <c r="A11" s="7" t="s">
        <v>8</v>
      </c>
      <c r="B11" s="5">
        <v>1400</v>
      </c>
    </row>
    <row r="12" spans="1:2" x14ac:dyDescent="0.35">
      <c r="A12" s="7" t="s">
        <v>19</v>
      </c>
      <c r="B12" s="5">
        <v>1500</v>
      </c>
    </row>
    <row r="13" spans="1:2" x14ac:dyDescent="0.35">
      <c r="A13" s="7" t="s">
        <v>24</v>
      </c>
      <c r="B13" s="5">
        <v>1600</v>
      </c>
    </row>
    <row r="14" spans="1:2" x14ac:dyDescent="0.35">
      <c r="A14" s="7" t="s">
        <v>28</v>
      </c>
      <c r="B14" s="5">
        <v>8420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2FDC-2A5E-4133-8BFD-7F24C75F49CF}">
  <dimension ref="A1:K1"/>
  <sheetViews>
    <sheetView workbookViewId="0">
      <selection activeCell="J19" sqref="J19"/>
    </sheetView>
  </sheetViews>
  <sheetFormatPr defaultRowHeight="14.5" x14ac:dyDescent="0.35"/>
  <cols>
    <col min="1" max="1" width="26.6328125" customWidth="1"/>
    <col min="2" max="2" width="8.7265625" style="9"/>
    <col min="6" max="6" width="18" customWidth="1"/>
    <col min="9" max="9" width="18" customWidth="1"/>
    <col min="10" max="10" width="27.1796875" customWidth="1"/>
    <col min="15" max="15" width="27" customWidth="1"/>
  </cols>
  <sheetData>
    <row r="1" spans="1:11" ht="26" x14ac:dyDescent="0.6">
      <c r="A1" t="s">
        <v>32</v>
      </c>
      <c r="B1" s="10">
        <f>SUM(Sales_Data!G2:G11)</f>
        <v>8420</v>
      </c>
      <c r="F1" s="9" t="s">
        <v>33</v>
      </c>
      <c r="G1" s="10">
        <f>COUNTA(Sales_Data!A2:A11)</f>
        <v>10</v>
      </c>
      <c r="J1" s="9" t="s">
        <v>34</v>
      </c>
      <c r="K1" s="11">
        <f>B1/G1</f>
        <v>842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Region Wise Sales Pivot + Chart</vt:lpstr>
      <vt:lpstr>Monthly Trend Pivot +Chart</vt:lpstr>
      <vt:lpstr>Top Products Pivot + Chart</vt:lpstr>
      <vt:lpstr>Final Dashboard KPI's +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Badri Ganesh</dc:creator>
  <cp:lastModifiedBy>Badri Ganesh</cp:lastModifiedBy>
  <dcterms:created xsi:type="dcterms:W3CDTF">2025-11-25T06:30:58Z</dcterms:created>
  <dcterms:modified xsi:type="dcterms:W3CDTF">2025-11-25T08:18:03Z</dcterms:modified>
</cp:coreProperties>
</file>